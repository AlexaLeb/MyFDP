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ulialebedeva/Downloads/"/>
    </mc:Choice>
  </mc:AlternateContent>
  <xr:revisionPtr revIDLastSave="0" documentId="13_ncr:1_{55264BC3-BBF2-C44F-BA7A-E4B63844053A}" xr6:coauthVersionLast="47" xr6:coauthVersionMax="47" xr10:uidLastSave="{00000000-0000-0000-0000-000000000000}"/>
  <bookViews>
    <workbookView xWindow="0" yWindow="680" windowWidth="34200" windowHeight="20520" tabRatio="500" xr2:uid="{00000000-000D-0000-FFFF-FFFF00000000}"/>
  </bookViews>
  <sheets>
    <sheet name="Бенчмаркинг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" i="1" l="1"/>
  <c r="O7" i="1"/>
  <c r="N7" i="1"/>
  <c r="J7" i="1"/>
  <c r="G7" i="1"/>
</calcChain>
</file>

<file path=xl/sharedStrings.xml><?xml version="1.0" encoding="utf-8"?>
<sst xmlns="http://schemas.openxmlformats.org/spreadsheetml/2006/main" count="79" uniqueCount="67">
  <si>
    <t>Конкурент</t>
  </si>
  <si>
    <t>Тип</t>
  </si>
  <si>
    <t>Что говорит о себе
(позиционирование)</t>
  </si>
  <si>
    <t>Целевая аудитория</t>
  </si>
  <si>
    <t>Основной функционал</t>
  </si>
  <si>
    <t>Модель цены</t>
  </si>
  <si>
    <t>Цена (от, $/мес)</t>
  </si>
  <si>
    <t>Что хвалят
пользователи</t>
  </si>
  <si>
    <t>На что жалуются
пользователи</t>
  </si>
  <si>
    <t>Горизонт
прогноза (дни)</t>
  </si>
  <si>
    <t>Квантильный
прогноз</t>
  </si>
  <si>
    <t>Входной формат
данных</t>
  </si>
  <si>
    <t>Шаги до
первого прогноза</t>
  </si>
  <si>
    <t>Заявленная
MAPE (%)</t>
  </si>
  <si>
    <t>Макс. SKU (тыс.)</t>
  </si>
  <si>
    <t>Inventory Planner</t>
  </si>
  <si>
    <t>Прямой</t>
  </si>
  <si>
    <t>Умное пополнение запасов для e-commerce</t>
  </si>
  <si>
    <t>Shopify / WooCommerce, малый e-commerce, США/Европа</t>
  </si>
  <si>
    <t>Прогноз спроса, авто-заказы поставщикам, мультиканал</t>
  </si>
  <si>
    <t>Подписка</t>
  </si>
  <si>
    <t>Лёгкая интеграция с Shopify, авто-рекомендации по заказам</t>
  </si>
  <si>
    <t>Нет квантильного прогноза, дорого при &gt;5 000 SKU</t>
  </si>
  <si>
    <t>Нет</t>
  </si>
  <si>
    <t>API / готовые интеграции</t>
  </si>
  <si>
    <t>Lokad</t>
  </si>
  <si>
    <t>Оптимизация запасов через вероятностное прогнозирование</t>
  </si>
  <si>
    <t>Средний и крупный бизнес: ритейл, дистрибуция, логистика</t>
  </si>
  <si>
    <t>Квантильный прогноз, оптимизация запасов, язык Envision</t>
  </si>
  <si>
    <t>Подписка (энтерпрайз)</t>
  </si>
  <si>
    <t>Настоящий квантильный прогноз, гибкость, высокая точность</t>
  </si>
  <si>
    <t>Крутая кривая обучения, нужен DS/Dev, недоступно для МБ</t>
  </si>
  <si>
    <t>Да</t>
  </si>
  <si>
    <t>CSV / API / ERP-коннекторы</t>
  </si>
  <si>
    <t>МойСклад</t>
  </si>
  <si>
    <t>Косвенный</t>
  </si>
  <si>
    <t>Управление торговлей и складом для малого бизнеса</t>
  </si>
  <si>
    <t>Малый российский e-commerce, ИП, розница, WB / Ozon</t>
  </si>
  <si>
    <t>Складской учёт, заказы, интеграция с WB / Ozon / Яндекс.Маркет, базовая аналитика</t>
  </si>
  <si>
    <t>Freemium + подписка</t>
  </si>
  <si>
    <t>Простота, российские интеграции, техподдержка на русском</t>
  </si>
  <si>
    <t>Прогноз примитивный (скользящее среднее), нет ML, нет квантилей</t>
  </si>
  <si>
    <t>Встроенный учёт / CSV-импорт</t>
  </si>
  <si>
    <t>н/д</t>
  </si>
  <si>
    <t>Без огр.</t>
  </si>
  <si>
    <t>Streamline</t>
  </si>
  <si>
    <t>Планирование спроса для производителей и дистрибьюторов</t>
  </si>
  <si>
    <t>Малый и средний бизнес: производство, дистрибуция</t>
  </si>
  <si>
    <t>Прогноз спроса, S&amp;OP-процесс, оптимизация запасов, ERP</t>
  </si>
  <si>
    <t>Хорошо работает с сезонными товарами, привычный Excel-интерфейс</t>
  </si>
  <si>
    <t>Устаревший UI, нет вероятностных прогнозов, слабо для e-com</t>
  </si>
  <si>
    <t>CSV / Excel / ERP</t>
  </si>
  <si>
    <t>Excel (ручной прогноз)</t>
  </si>
  <si>
    <t>Альтернатива</t>
  </si>
  <si>
    <t>Универсальный инструмент для работы с данными</t>
  </si>
  <si>
    <t>Любой бизнес, аналитики и логисты без специального ПО</t>
  </si>
  <si>
    <t>Ручные формулы (FORECAST.ETS, скользящее среднее), сводные таблицы, Power Query</t>
  </si>
  <si>
    <t>Подписка M365 / разовая</t>
  </si>
  <si>
    <t>Знаком всем, полная гибкость, нет онбординга, не нужен вендор</t>
  </si>
  <si>
    <t>Нет ML, нет квантилей, не масштабируется (&gt;10k SKU тормозит), всё вручную</t>
  </si>
  <si>
    <t>Любой</t>
  </si>
  <si>
    <t>Excel / CSV</t>
  </si>
  <si>
    <t>Benchmark</t>
  </si>
  <si>
    <t>—</t>
  </si>
  <si>
    <t>1 из 5</t>
  </si>
  <si>
    <t>CSV / API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</si>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</sst>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9"/>
      <color theme="1"/>
      <name val="Arial"/>
      <family val="2"/>
    </font>
    <font>
      <b/>
      <sz val="10"/>
      <color theme="0" tint="-0.249977111117893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41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52525"/>
      <rgbColor rgb="FF339966"/>
      <rgbColor rgb="FF1E1E1E"/>
      <rgbColor rgb="FF1A2A1A"/>
      <rgbColor rgb="FF993300"/>
      <rgbColor rgb="FF993366"/>
      <rgbColor rgb="FF3A3A3A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showGridLines="0" tabSelected="1" zoomScale="111" zoomScaleNormal="100" workbookViewId="0">
      <pane ySplit="1" topLeftCell="A2" activePane="bottomLeft" state="frozen"/>
      <selection pane="bottomLeft" activeCell="M8" sqref="M8"/>
    </sheetView>
  </sheetViews>
  <sheetFormatPr baseColWidth="10" defaultColWidth="8.6640625" defaultRowHeight="15" x14ac:dyDescent="0.2"/>
  <cols>
    <col min="1" max="1" width="24" customWidth="1"/>
    <col min="2" max="2" width="14" customWidth="1"/>
    <col min="3" max="4" width="34" customWidth="1"/>
    <col min="5" max="5" width="46" customWidth="1"/>
    <col min="6" max="6" width="18" customWidth="1"/>
    <col min="7" max="7" width="14" customWidth="1"/>
    <col min="8" max="8" width="42" customWidth="1"/>
    <col min="9" max="9" width="50" customWidth="1"/>
    <col min="10" max="11" width="14" customWidth="1"/>
    <col min="12" max="12" width="22" customWidth="1"/>
    <col min="13" max="15" width="14" customWidth="1"/>
  </cols>
  <sheetData>
    <row r="1" spans="1:15" ht="4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60" customHeight="1" x14ac:dyDescent="0.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99</v>
      </c>
      <c r="H2" s="1" t="s">
        <v>21</v>
      </c>
      <c r="I2" s="1" t="s">
        <v>22</v>
      </c>
      <c r="J2" s="1">
        <v>30</v>
      </c>
      <c r="K2" s="1" t="s">
        <v>23</v>
      </c>
      <c r="L2" s="1" t="s">
        <v>24</v>
      </c>
      <c r="M2" s="1">
        <v>6</v>
      </c>
      <c r="N2" s="1">
        <v>10</v>
      </c>
      <c r="O2" s="1">
        <v>50</v>
      </c>
    </row>
    <row r="3" spans="1:15" ht="60" customHeight="1" x14ac:dyDescent="0.2">
      <c r="A3" s="1" t="s">
        <v>25</v>
      </c>
      <c r="B3" s="1" t="s">
        <v>16</v>
      </c>
      <c r="C3" s="1" t="s">
        <v>26</v>
      </c>
      <c r="D3" s="1" t="s">
        <v>27</v>
      </c>
      <c r="E3" s="1" t="s">
        <v>28</v>
      </c>
      <c r="F3" s="1" t="s">
        <v>29</v>
      </c>
      <c r="G3" s="1">
        <v>1500</v>
      </c>
      <c r="H3" s="1" t="s">
        <v>30</v>
      </c>
      <c r="I3" s="1" t="s">
        <v>31</v>
      </c>
      <c r="J3" s="1">
        <v>365</v>
      </c>
      <c r="K3" s="1" t="s">
        <v>32</v>
      </c>
      <c r="L3" s="1" t="s">
        <v>33</v>
      </c>
      <c r="M3" s="1">
        <v>12</v>
      </c>
      <c r="N3" s="1">
        <v>8</v>
      </c>
      <c r="O3" s="1">
        <v>1000</v>
      </c>
    </row>
    <row r="4" spans="1:15" ht="60" customHeight="1" x14ac:dyDescent="0.2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>
        <v>11</v>
      </c>
      <c r="H4" s="1" t="s">
        <v>40</v>
      </c>
      <c r="I4" s="1" t="s">
        <v>41</v>
      </c>
      <c r="J4" s="1">
        <v>30</v>
      </c>
      <c r="K4" s="1" t="s">
        <v>23</v>
      </c>
      <c r="L4" s="1" t="s">
        <v>42</v>
      </c>
      <c r="M4" s="1">
        <v>4</v>
      </c>
      <c r="N4" s="1" t="s">
        <v>43</v>
      </c>
      <c r="O4" s="1" t="s">
        <v>44</v>
      </c>
    </row>
    <row r="5" spans="1:15" ht="60" customHeight="1" x14ac:dyDescent="0.2">
      <c r="A5" s="1" t="s">
        <v>45</v>
      </c>
      <c r="B5" s="1" t="s">
        <v>35</v>
      </c>
      <c r="C5" s="1" t="s">
        <v>46</v>
      </c>
      <c r="D5" s="1" t="s">
        <v>47</v>
      </c>
      <c r="E5" s="1" t="s">
        <v>48</v>
      </c>
      <c r="F5" s="1" t="s">
        <v>20</v>
      </c>
      <c r="G5" s="1">
        <v>175</v>
      </c>
      <c r="H5" s="1" t="s">
        <v>49</v>
      </c>
      <c r="I5" s="1" t="s">
        <v>50</v>
      </c>
      <c r="J5" s="1">
        <v>90</v>
      </c>
      <c r="K5" s="1" t="s">
        <v>23</v>
      </c>
      <c r="L5" s="1" t="s">
        <v>51</v>
      </c>
      <c r="M5" s="1">
        <v>5</v>
      </c>
      <c r="N5" s="1">
        <v>15</v>
      </c>
      <c r="O5" s="1">
        <v>200</v>
      </c>
    </row>
    <row r="6" spans="1:15" ht="60" customHeight="1" x14ac:dyDescent="0.2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>
        <v>10</v>
      </c>
      <c r="H6" s="1" t="s">
        <v>58</v>
      </c>
      <c r="I6" s="1" t="s">
        <v>59</v>
      </c>
      <c r="J6" s="1" t="s">
        <v>60</v>
      </c>
      <c r="K6" s="1" t="s">
        <v>23</v>
      </c>
      <c r="L6" s="1" t="s">
        <v>61</v>
      </c>
      <c r="M6" s="1">
        <v>3</v>
      </c>
      <c r="N6" s="1" t="s">
        <v>66</v>
      </c>
      <c r="O6" s="1">
        <v>15</v>
      </c>
    </row>
    <row r="7" spans="1:15" ht="60" customHeight="1" x14ac:dyDescent="0.2">
      <c r="A7" s="3" t="s">
        <v>62</v>
      </c>
      <c r="B7" s="3" t="s">
        <v>63</v>
      </c>
      <c r="C7" s="3" t="s">
        <v>63</v>
      </c>
      <c r="D7" s="3" t="s">
        <v>63</v>
      </c>
      <c r="E7" s="3" t="s">
        <v>63</v>
      </c>
      <c r="F7" s="3" t="s">
        <v>20</v>
      </c>
      <c r="G7" s="3">
        <f>MEDIAN(G2:G6)</f>
        <v>99</v>
      </c>
      <c r="H7" s="3" t="s">
        <v>63</v>
      </c>
      <c r="I7" s="3" t="s">
        <v>63</v>
      </c>
      <c r="J7" s="3">
        <f>AVERAGE(J2:J5)</f>
        <v>128.75</v>
      </c>
      <c r="K7" s="3" t="s">
        <v>64</v>
      </c>
      <c r="L7" s="3" t="s">
        <v>65</v>
      </c>
      <c r="M7" s="3">
        <f>AVERAGE(M2:M6)</f>
        <v>6</v>
      </c>
      <c r="N7" s="3">
        <f>(N5+N3+N2)/3</f>
        <v>11</v>
      </c>
      <c r="O7" s="3">
        <f>MEDIAN(O2:O6)</f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Бенчмаркинг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supersashashenel supersashashenel</cp:lastModifiedBy>
  <cp:revision>0</cp:revision>
  <dcterms:created xsi:type="dcterms:W3CDTF">2026-05-12T10:59:16Z</dcterms:created>
  <dcterms:modified xsi:type="dcterms:W3CDTF">2026-05-12T11:12:40Z</dcterms:modified>
  <dc:language>en-US</dc:language>
</cp:coreProperties>
</file>